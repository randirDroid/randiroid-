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صورتحساب نهایی" sheetId="1" state="visible" r:id="rId3"/>
    <sheet name="تیر ۱ تا ۵" sheetId="2" state="visible" r:id="rId4"/>
    <sheet name="مقایسه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<sst xmlns="http://schemas.openxmlformats.org/spreadsheetml/2006/main" count="51" uniqueCount="47">
  <si>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گزارش صورت‌حساب نهایی تسویه‌شده (Randir)</t>
  </si>
  <si>
    <t xml:space="preserve">مبنا: نقدی + اعتباری از صفحه صورت‌حساب دیجی‌کالا، بعد از کسر کمیسیون و مرجوعی. منبع: seller.digikala.com/pwa/invoice</t>
  </si>
  <si>
    <t xml:space="preserve">دوره</t>
  </si>
  <si>
    <t xml:space="preserve">بخش نقدی (ریال)</t>
  </si>
  <si>
    <t xml:space="preserve">بخش اعتباری (ریال)</t>
  </si>
  <si>
    <t xml:space="preserve">مجموع (ریال)</t>
  </si>
  <si>
    <t xml:space="preserve">مجموع (تومان)</t>
  </si>
  <si>
    <t xml:space="preserve">تعداد روز</t>
  </si>
  <si>
    <t xml:space="preserve">میانگین روزانه (تومان)</t>
  </si>
  <si>
    <t xml:space="preserve">نشانه</t>
  </si>
  <si>
    <t xml:space="preserve">۱–۱۰ اردیبهشت</t>
  </si>
  <si>
    <t xml:space="preserve">۱۱–۲۰ اردیبهشت</t>
  </si>
  <si>
    <t xml:space="preserve">کف</t>
  </si>
  <si>
    <t xml:space="preserve">۲۱–۳۱ اردیبهشت</t>
  </si>
  <si>
    <t xml:space="preserve">۱–۱۰ خرداد</t>
  </si>
  <si>
    <t xml:space="preserve">۱۱–۲۰ خرداد</t>
  </si>
  <si>
    <t xml:space="preserve">۲۱–۳۱ خرداد</t>
  </si>
  <si>
    <t xml:space="preserve">سقف</t>
  </si>
  <si>
    <t xml:space="preserve">مجموع خرداد+اردیبهشت</t>
  </si>
  <si>
    <t xml:space="preserve">فروش روزانه ۱ تا ۵ تیر (گزارش فروش — گروس، هنوز تسویه نشده)</t>
  </si>
  <si>
    <t xml:space="preserve">منبع: seller.digikala.com گزارش فروش — مبلغ فروش خالص</t>
  </si>
  <si>
    <t xml:space="preserve">تاریخ</t>
  </si>
  <si>
    <t xml:space="preserve">تعداد فروش (عدد)</t>
  </si>
  <si>
    <t xml:space="preserve">تعداد سفارش</t>
  </si>
  <si>
    <t xml:space="preserve">مبلغ فروش (ریال)</t>
  </si>
  <si>
    <t xml:space="preserve">مبلغ فروش (تومان)</t>
  </si>
  <si>
    <t xml:space="preserve">۱ تیر</t>
  </si>
  <si>
    <t xml:space="preserve">۲ تیر</t>
  </si>
  <si>
    <t xml:space="preserve">۳ تیر</t>
  </si>
  <si>
    <t xml:space="preserve">۴ تیر</t>
  </si>
  <si>
    <t xml:space="preserve">۵ تیر</t>
  </si>
  <si>
    <t xml:space="preserve">مجموع</t>
  </si>
  <si>
    <t xml:space="preserve">تخمین تسویه نهایی (تومان) = گروس × ۰٫۸۵</t>
  </si>
  <si>
    <t xml:space="preserve">نرخ تسویه ~۰٫۸۵ از مقایسه دوره‌های خرداد (تسویه ÷ فروش) به‌دست آمده</t>
  </si>
  <si>
    <t xml:space="preserve">مقایسه دوره‌ها — مبلغ نهایی و میانگین روزانه</t>
  </si>
  <si>
    <t xml:space="preserve">کف/سقف روی نمودار و جدول نشانه‌گذاری شده. تیر ۱–۵ تخمینی و ۵‌روزه است.</t>
  </si>
  <si>
    <t xml:space="preserve">مبلغ نهایی (م تومان)</t>
  </si>
  <si>
    <t xml:space="preserve">میانگین روزانه (م تومان)</t>
  </si>
  <si>
    <t xml:space="preserve">۱–۱۰ ارد</t>
  </si>
  <si>
    <t xml:space="preserve">۱۱–۲۰ ارد</t>
  </si>
  <si>
    <t xml:space="preserve">۲۱–۳۱ ارد</t>
  </si>
  <si>
    <t xml:space="preserve">۱–۱۰ خرد</t>
  </si>
  <si>
    <t xml:space="preserve">۱۱–۲۰ خرد</t>
  </si>
  <si>
    <t xml:space="preserve">۲۱–۳۱ خرد</t>
  </si>
  <si>
    <t xml:space="preserve">سقف مبلغ</t>
  </si>
  <si>
    <t xml:space="preserve">۱–۵ تیر*</t>
  </si>
  <si>
    <t xml:space="preserve">سقف روزانه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</si>
</sst>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C447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854F0B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85FA5"/>
        <bgColor rgb="FF0C447C"/>
      </patternFill>
    </fill>
    <fill>
      <patternFill patternType="solid">
        <fgColor rgb="FFFAEEDA"/>
        <bgColor rgb="FFEEF4FB"/>
      </patternFill>
    </fill>
    <fill>
      <patternFill patternType="solid">
        <fgColor rgb="FFD8F0E4"/>
        <bgColor rgb="FFEEF4FB"/>
      </patternFill>
    </fill>
    <fill>
      <patternFill patternType="solid">
        <fgColor rgb="FFEEF4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78787"/>
      <rgbColor rgb="FF9999FF"/>
      <rgbColor rgb="FF993366"/>
      <rgbColor rgb="FFFAEEDA"/>
      <rgbColor rgb="FFEEF4FB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0E4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C98500"/>
      <rgbColor rgb="FFFF6600"/>
      <rgbColor rgb="FF666666"/>
      <rgbColor rgb="FFA7A59C"/>
      <rgbColor rgb="FF0C447C"/>
      <rgbColor rgb="FF4F81BD"/>
      <rgbColor rgb="FF003300"/>
      <rgbColor rgb="FF333300"/>
      <rgbColor rgb="FF854F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مبلغ نهایی تسویه هر دوره (م تومان)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مقایسه!B4</c:f>
              <c:strCache>
                <c:ptCount val="1"/>
                <c:pt idx="0">
                  <c:v>مبلغ نهایی (م تومان)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A7A59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مقایسه!$A$5:$A$11</c:f>
              <c:strCache>
                <c:ptCount val="7"/>
                <c:pt idx="0">
                  <c:v>۱–۱۰ ارد</c:v>
                </c:pt>
                <c:pt idx="1">
                  <c:v>۱۱–۲۰ ارد</c:v>
                </c:pt>
                <c:pt idx="2">
                  <c:v>۲۱–۳۱ ارد</c:v>
                </c:pt>
                <c:pt idx="3">
                  <c:v>۱–۱۰ خرد</c:v>
                </c:pt>
                <c:pt idx="4">
                  <c:v>۱۱–۲۰ خرد</c:v>
                </c:pt>
                <c:pt idx="5">
                  <c:v>۲۱–۳۱ خرد</c:v>
                </c:pt>
                <c:pt idx="6">
                  <c:v>۱–۵ تیر*</c:v>
                </c:pt>
              </c:strCache>
            </c:strRef>
          </c:cat>
          <c:val>
            <c:numRef>
              <c:f>مقایسه!$B$5:$B$11</c:f>
              <c:numCache>
                <c:formatCode>#,##0.0</c:formatCode>
                <c:ptCount val="7"/>
                <c:pt idx="0">
                  <c:v>104.7</c:v>
                </c:pt>
                <c:pt idx="1">
                  <c:v>100.73</c:v>
                </c:pt>
                <c:pt idx="2">
                  <c:v>125.2</c:v>
                </c:pt>
                <c:pt idx="3">
                  <c:v>123.29</c:v>
                </c:pt>
                <c:pt idx="4">
                  <c:v>160.65</c:v>
                </c:pt>
                <c:pt idx="5">
                  <c:v>187.22</c:v>
                </c:pt>
                <c:pt idx="6">
                  <c:v>89.7</c:v>
                </c:pt>
              </c:numCache>
            </c:numRef>
          </c:val>
        </c:ser>
        <c:gapWidth val="150"/>
        <c:overlap val="0"/>
        <c:axId val="31452163"/>
        <c:axId val="15545698"/>
      </c:barChart>
      <c:catAx>
        <c:axId val="31452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545698"/>
        <c:crosses val="autoZero"/>
        <c:auto val="1"/>
        <c:lblAlgn val="ctr"/>
        <c:lblOffset val="100"/>
        <c:noMultiLvlLbl val="0"/>
      </c:catAx>
      <c:valAx>
        <c:axId val="15545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4521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میانگین تسویه روزانه (م تومان/روز)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مقایسه!C4</c:f>
              <c:strCache>
                <c:ptCount val="1"/>
                <c:pt idx="0">
                  <c:v>میانگین روزانه (م تومان)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9850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F6E5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مقایسه!$A$5:$A$11</c:f>
              <c:strCache>
                <c:ptCount val="7"/>
                <c:pt idx="0">
                  <c:v>۱–۱۰ ارد</c:v>
                </c:pt>
                <c:pt idx="1">
                  <c:v>۱۱–۲۰ ارد</c:v>
                </c:pt>
                <c:pt idx="2">
                  <c:v>۲۱–۳۱ ارد</c:v>
                </c:pt>
                <c:pt idx="3">
                  <c:v>۱–۱۰ خرد</c:v>
                </c:pt>
                <c:pt idx="4">
                  <c:v>۱۱–۲۰ خرد</c:v>
                </c:pt>
                <c:pt idx="5">
                  <c:v>۲۱–۳۱ خرد</c:v>
                </c:pt>
                <c:pt idx="6">
                  <c:v>۱–۵ تیر*</c:v>
                </c:pt>
              </c:strCache>
            </c:strRef>
          </c:cat>
          <c:val>
            <c:numRef>
              <c:f>مقایسه!$C$5:$C$11</c:f>
              <c:numCache>
                <c:formatCode>#,##0.0</c:formatCode>
                <c:ptCount val="7"/>
                <c:pt idx="0">
                  <c:v>10.47</c:v>
                </c:pt>
                <c:pt idx="1">
                  <c:v>10.07</c:v>
                </c:pt>
                <c:pt idx="2">
                  <c:v>11.38</c:v>
                </c:pt>
                <c:pt idx="3">
                  <c:v>12.33</c:v>
                </c:pt>
                <c:pt idx="4">
                  <c:v>16.07</c:v>
                </c:pt>
                <c:pt idx="5">
                  <c:v>17.02</c:v>
                </c:pt>
                <c:pt idx="6">
                  <c:v>17.94</c:v>
                </c:pt>
              </c:numCache>
            </c:numRef>
          </c:val>
        </c:ser>
        <c:gapWidth val="150"/>
        <c:overlap val="0"/>
        <c:axId val="24049260"/>
        <c:axId val="72289191"/>
      </c:barChart>
      <c:catAx>
        <c:axId val="24049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289191"/>
        <c:crosses val="autoZero"/>
        <c:auto val="1"/>
        <c:lblAlgn val="ctr"/>
        <c:lblOffset val="100"/>
        <c:noMultiLvlLbl val="0"/>
      </c:catAx>
      <c:valAx>
        <c:axId val="72289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0492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-364680</xdr:colOff>
      <xdr:row>3</xdr:row>
      <xdr:rowOff>0</xdr:rowOff>
    </xdr:from>
    <xdr:to>
      <xdr:col>15</xdr:col>
      <xdr:colOff>0</xdr:colOff>
      <xdr:row>18</xdr:row>
      <xdr:rowOff>21960</xdr:rowOff>
    </xdr:to>
    <xdr:graphicFrame>
      <xdr:nvGraphicFramePr>
        <xdr:cNvPr id="1" name="Chart 1"/>
        <xdr:cNvGraphicFramePr/>
      </xdr:nvGraphicFramePr>
      <xdr:xfrm>
        <a:off x="-12448080" y="6012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-364680</xdr:colOff>
      <xdr:row>19</xdr:row>
      <xdr:rowOff>0</xdr:rowOff>
    </xdr:from>
    <xdr:to>
      <xdr:col>15</xdr:col>
      <xdr:colOff>0</xdr:colOff>
      <xdr:row>34</xdr:row>
      <xdr:rowOff>21960</xdr:rowOff>
    </xdr:to>
    <xdr:graphicFrame>
      <xdr:nvGraphicFramePr>
        <xdr:cNvPr id="2" name="Chart 2"/>
        <xdr:cNvGraphicFramePr/>
      </xdr:nvGraphicFramePr>
      <xdr:xfrm>
        <a:off x="-12448080" y="36493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640329540</v>
      </c>
      <c r="C5" s="5" t="n">
        <v>406629264</v>
      </c>
      <c r="D5" s="5" t="n">
        <f aca="false">B5+C5</f>
        <v>1046958804</v>
      </c>
      <c r="E5" s="5" t="n">
        <f aca="false">D5/10</f>
        <v>104695880.4</v>
      </c>
      <c r="F5" s="6" t="n">
        <v>10</v>
      </c>
      <c r="G5" s="5" t="n">
        <f aca="false">E5/F5</f>
        <v>10469588.04</v>
      </c>
      <c r="H5" s="7"/>
    </row>
    <row r="6" customFormat="false" ht="15" hidden="false" customHeight="false" outlineLevel="0" collapsed="false">
      <c r="A6" s="8" t="s">
        <v>11</v>
      </c>
      <c r="B6" s="9" t="n">
        <v>546104739</v>
      </c>
      <c r="C6" s="9" t="n">
        <v>461161360</v>
      </c>
      <c r="D6" s="9" t="n">
        <f aca="false">B6+C6</f>
        <v>1007266099</v>
      </c>
      <c r="E6" s="9" t="n">
        <f aca="false">D6/10</f>
        <v>100726609.9</v>
      </c>
      <c r="F6" s="10" t="n">
        <v>10</v>
      </c>
      <c r="G6" s="9" t="n">
        <f aca="false">E6/F6</f>
        <v>10072660.99</v>
      </c>
      <c r="H6" s="11" t="s">
        <v>12</v>
      </c>
    </row>
    <row r="7" customFormat="false" ht="15" hidden="false" customHeight="false" outlineLevel="0" collapsed="false">
      <c r="A7" s="4" t="s">
        <v>13</v>
      </c>
      <c r="B7" s="5" t="n">
        <v>949871245</v>
      </c>
      <c r="C7" s="5" t="n">
        <v>302094387</v>
      </c>
      <c r="D7" s="5" t="n">
        <f aca="false">B7+C7</f>
        <v>1251965632</v>
      </c>
      <c r="E7" s="5" t="n">
        <f aca="false">D7/10</f>
        <v>125196563.2</v>
      </c>
      <c r="F7" s="6" t="n">
        <v>11</v>
      </c>
      <c r="G7" s="5" t="n">
        <f aca="false">E7/F7</f>
        <v>11381505.7454545</v>
      </c>
      <c r="H7" s="7"/>
    </row>
    <row r="8" customFormat="false" ht="15" hidden="false" customHeight="false" outlineLevel="0" collapsed="false">
      <c r="A8" s="4" t="s">
        <v>14</v>
      </c>
      <c r="B8" s="5" t="n">
        <v>872114081</v>
      </c>
      <c r="C8" s="5" t="n">
        <v>360809782</v>
      </c>
      <c r="D8" s="5" t="n">
        <f aca="false">B8+C8</f>
        <v>1232923863</v>
      </c>
      <c r="E8" s="5" t="n">
        <f aca="false">D8/10</f>
        <v>123292386.3</v>
      </c>
      <c r="F8" s="6" t="n">
        <v>10</v>
      </c>
      <c r="G8" s="5" t="n">
        <f aca="false">E8/F8</f>
        <v>12329238.63</v>
      </c>
      <c r="H8" s="7"/>
    </row>
    <row r="9" customFormat="false" ht="15" hidden="false" customHeight="false" outlineLevel="0" collapsed="false">
      <c r="A9" s="4" t="s">
        <v>15</v>
      </c>
      <c r="B9" s="5" t="n">
        <v>1087445443</v>
      </c>
      <c r="C9" s="5" t="n">
        <v>519057144</v>
      </c>
      <c r="D9" s="5" t="n">
        <f aca="false">B9+C9</f>
        <v>1606502587</v>
      </c>
      <c r="E9" s="5" t="n">
        <f aca="false">D9/10</f>
        <v>160650258.7</v>
      </c>
      <c r="F9" s="6" t="n">
        <v>10</v>
      </c>
      <c r="G9" s="5" t="n">
        <f aca="false">E9/F9</f>
        <v>16065025.87</v>
      </c>
      <c r="H9" s="7"/>
    </row>
    <row r="10" customFormat="false" ht="15" hidden="false" customHeight="false" outlineLevel="0" collapsed="false">
      <c r="A10" s="12" t="s">
        <v>16</v>
      </c>
      <c r="B10" s="13" t="n">
        <v>1365372486</v>
      </c>
      <c r="C10" s="13" t="n">
        <v>506846862</v>
      </c>
      <c r="D10" s="13" t="n">
        <f aca="false">B10+C10</f>
        <v>1872219348</v>
      </c>
      <c r="E10" s="13" t="n">
        <f aca="false">D10/10</f>
        <v>187221934.8</v>
      </c>
      <c r="F10" s="14" t="n">
        <v>11</v>
      </c>
      <c r="G10" s="13" t="n">
        <f aca="false">E10/F10</f>
        <v>17020175.8909091</v>
      </c>
      <c r="H10" s="15" t="s">
        <v>17</v>
      </c>
    </row>
    <row r="11" customFormat="false" ht="15" hidden="false" customHeight="false" outlineLevel="0" collapsed="false">
      <c r="A11" s="16" t="s">
        <v>18</v>
      </c>
      <c r="B11" s="17" t="n">
        <f aca="false">SUM(B5:B10)</f>
        <v>5461237534</v>
      </c>
      <c r="C11" s="17" t="n">
        <f aca="false">SUM(C5:C10)</f>
        <v>2556598799</v>
      </c>
      <c r="D11" s="17" t="n">
        <f aca="false">SUM(D5:D10)</f>
        <v>8017836333</v>
      </c>
      <c r="E11" s="17" t="n">
        <f aca="false">SUM(E5:E10)</f>
        <v>801783633.3</v>
      </c>
      <c r="F11" s="7"/>
      <c r="G11" s="7"/>
      <c r="H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7.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</row>
    <row r="5" customFormat="false" ht="15" hidden="false" customHeight="false" outlineLevel="0" collapsed="false">
      <c r="A5" s="4" t="s">
        <v>26</v>
      </c>
      <c r="B5" s="5" t="n">
        <v>101</v>
      </c>
      <c r="C5" s="5" t="n">
        <v>89</v>
      </c>
      <c r="D5" s="5" t="n">
        <v>216992474</v>
      </c>
      <c r="E5" s="5" t="n">
        <f aca="false">D5/10</f>
        <v>21699247.4</v>
      </c>
    </row>
    <row r="6" customFormat="false" ht="15" hidden="false" customHeight="false" outlineLevel="0" collapsed="false">
      <c r="A6" s="4" t="s">
        <v>27</v>
      </c>
      <c r="B6" s="5" t="n">
        <v>87</v>
      </c>
      <c r="C6" s="5" t="n">
        <v>66</v>
      </c>
      <c r="D6" s="5" t="n">
        <v>220805504</v>
      </c>
      <c r="E6" s="5" t="n">
        <f aca="false">D6/10</f>
        <v>22080550.4</v>
      </c>
    </row>
    <row r="7" customFormat="false" ht="15" hidden="false" customHeight="false" outlineLevel="0" collapsed="false">
      <c r="A7" s="4" t="s">
        <v>28</v>
      </c>
      <c r="B7" s="5" t="n">
        <v>77</v>
      </c>
      <c r="C7" s="5" t="n">
        <v>66</v>
      </c>
      <c r="D7" s="5" t="n">
        <v>169983698</v>
      </c>
      <c r="E7" s="5" t="n">
        <f aca="false">D7/10</f>
        <v>16998369.8</v>
      </c>
    </row>
    <row r="8" customFormat="false" ht="15" hidden="false" customHeight="false" outlineLevel="0" collapsed="false">
      <c r="A8" s="4" t="s">
        <v>29</v>
      </c>
      <c r="B8" s="5" t="n">
        <v>93</v>
      </c>
      <c r="C8" s="5" t="n">
        <v>82</v>
      </c>
      <c r="D8" s="5" t="n">
        <v>206968844</v>
      </c>
      <c r="E8" s="5" t="n">
        <f aca="false">D8/10</f>
        <v>20696884.4</v>
      </c>
    </row>
    <row r="9" customFormat="false" ht="15" hidden="false" customHeight="false" outlineLevel="0" collapsed="false">
      <c r="A9" s="4" t="s">
        <v>30</v>
      </c>
      <c r="B9" s="5" t="n">
        <v>117</v>
      </c>
      <c r="C9" s="5" t="n">
        <v>100</v>
      </c>
      <c r="D9" s="5" t="n">
        <v>240810213</v>
      </c>
      <c r="E9" s="5" t="n">
        <f aca="false">D9/10</f>
        <v>24081021.3</v>
      </c>
    </row>
    <row r="10" customFormat="false" ht="15" hidden="false" customHeight="false" outlineLevel="0" collapsed="false">
      <c r="A10" s="16" t="s">
        <v>31</v>
      </c>
      <c r="B10" s="17" t="n">
        <f aca="false">SUM(B5:B9)</f>
        <v>475</v>
      </c>
      <c r="C10" s="17" t="n">
        <f aca="false">SUM(C5:C9)</f>
        <v>403</v>
      </c>
      <c r="D10" s="17" t="n">
        <f aca="false">SUM(D5:D9)</f>
        <v>1055560733</v>
      </c>
      <c r="E10" s="17" t="n">
        <f aca="false">SUM(E5:E9)</f>
        <v>105556073.3</v>
      </c>
    </row>
    <row r="12" customFormat="false" ht="15" hidden="false" customHeight="false" outlineLevel="0" collapsed="false">
      <c r="A12" s="18" t="s">
        <v>8</v>
      </c>
      <c r="E12" s="19" t="n">
        <f aca="false">E10/5</f>
        <v>21111214.66</v>
      </c>
    </row>
    <row r="13" customFormat="false" ht="15" hidden="false" customHeight="false" outlineLevel="0" collapsed="false">
      <c r="A13" s="18" t="s">
        <v>32</v>
      </c>
      <c r="E13" s="19" t="n">
        <f aca="false">E10*0.85</f>
        <v>89722662.305</v>
      </c>
    </row>
    <row r="14" customFormat="false" ht="15" hidden="false" customHeight="false" outlineLevel="0" collapsed="false">
      <c r="A14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2</v>
      </c>
      <c r="B4" s="3" t="s">
        <v>36</v>
      </c>
      <c r="C4" s="3" t="s">
        <v>37</v>
      </c>
      <c r="D4" s="3" t="s">
        <v>9</v>
      </c>
    </row>
    <row r="5" customFormat="false" ht="15" hidden="false" customHeight="false" outlineLevel="0" collapsed="false">
      <c r="A5" s="4" t="s">
        <v>38</v>
      </c>
      <c r="B5" s="20" t="n">
        <v>104.7</v>
      </c>
      <c r="C5" s="20" t="n">
        <v>10.47</v>
      </c>
      <c r="D5" s="6"/>
    </row>
    <row r="6" customFormat="false" ht="15" hidden="false" customHeight="false" outlineLevel="0" collapsed="false">
      <c r="A6" s="8" t="s">
        <v>39</v>
      </c>
      <c r="B6" s="21" t="n">
        <v>100.73</v>
      </c>
      <c r="C6" s="21" t="n">
        <v>10.07</v>
      </c>
      <c r="D6" s="10" t="s">
        <v>12</v>
      </c>
    </row>
    <row r="7" customFormat="false" ht="15" hidden="false" customHeight="false" outlineLevel="0" collapsed="false">
      <c r="A7" s="4" t="s">
        <v>40</v>
      </c>
      <c r="B7" s="20" t="n">
        <v>125.2</v>
      </c>
      <c r="C7" s="20" t="n">
        <v>11.38</v>
      </c>
      <c r="D7" s="6"/>
    </row>
    <row r="8" customFormat="false" ht="15" hidden="false" customHeight="false" outlineLevel="0" collapsed="false">
      <c r="A8" s="4" t="s">
        <v>41</v>
      </c>
      <c r="B8" s="20" t="n">
        <v>123.29</v>
      </c>
      <c r="C8" s="20" t="n">
        <v>12.33</v>
      </c>
      <c r="D8" s="6"/>
    </row>
    <row r="9" customFormat="false" ht="15" hidden="false" customHeight="false" outlineLevel="0" collapsed="false">
      <c r="A9" s="4" t="s">
        <v>42</v>
      </c>
      <c r="B9" s="20" t="n">
        <v>160.65</v>
      </c>
      <c r="C9" s="20" t="n">
        <v>16.07</v>
      </c>
      <c r="D9" s="6"/>
    </row>
    <row r="10" customFormat="false" ht="15" hidden="false" customHeight="false" outlineLevel="0" collapsed="false">
      <c r="A10" s="12" t="s">
        <v>43</v>
      </c>
      <c r="B10" s="22" t="n">
        <v>187.22</v>
      </c>
      <c r="C10" s="22" t="n">
        <v>17.02</v>
      </c>
      <c r="D10" s="15" t="s">
        <v>44</v>
      </c>
    </row>
    <row r="11" customFormat="false" ht="15" hidden="false" customHeight="false" outlineLevel="0" collapsed="false">
      <c r="A11" s="12" t="s">
        <v>45</v>
      </c>
      <c r="B11" s="22" t="n">
        <v>89.7</v>
      </c>
      <c r="C11" s="22" t="n">
        <v>17.94</v>
      </c>
      <c r="D11" s="1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2026-06-28T08:01:16Z</dcterms:created>
  <dc:creator>openpyxl</dc:creator>
  <dc:description/>
  <dc:language>en-US</dc:language>
  <cp:lastModifiedBy/>
  <dcterms:modified xsi:type="dcterms:W3CDTF">2026-06-28T08:01:26Z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